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5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TN\CursoProyectoF\2017\"/>
    </mc:Choice>
  </mc:AlternateContent>
  <bookViews>
    <workbookView xWindow="-20" yWindow="3680" windowWidth="11970" windowHeight="3720" tabRatio="830"/>
  </bookViews>
  <sheets>
    <sheet name="Registro DM-PF" sheetId="4" r:id="rId1"/>
    <sheet name="DM-PF-001" sheetId="51" r:id="rId2"/>
  </sheets>
  <definedNames>
    <definedName name="_xlnm._FilterDatabase" localSheetId="0" hidden="1">'Registro DM-PF'!$A$7:$K$8</definedName>
    <definedName name="_xlnm.Print_Area" localSheetId="1">'DM-PF-001'!$A$1:$F$42</definedName>
    <definedName name="_xlnm.Print_Area" localSheetId="0">'Registro DM-PF'!$A$8:$I$8</definedName>
    <definedName name="_xlnm.Print_Titles" localSheetId="0">'Registro DM-PF'!$1:$7</definedName>
  </definedNames>
  <calcPr calcId="171027" fullCalcOnLoad="1"/>
</workbook>
</file>

<file path=xl/calcChain.xml><?xml version="1.0" encoding="utf-8"?>
<calcChain xmlns="http://schemas.openxmlformats.org/spreadsheetml/2006/main">
  <c r="F3" i="51" l="1"/>
  <c r="B1" i="51"/>
  <c r="C7" i="51" s="1"/>
  <c r="B4" i="4"/>
  <c r="B2" i="51" s="1"/>
  <c r="B8" i="4"/>
  <c r="B5" i="51"/>
  <c r="B3" i="51"/>
  <c r="B33" i="51"/>
  <c r="B32" i="51"/>
  <c r="B31" i="51"/>
  <c r="B30" i="51"/>
  <c r="D32" i="51"/>
  <c r="D31" i="51"/>
  <c r="D30" i="51"/>
  <c r="D25" i="51"/>
  <c r="D24" i="51"/>
  <c r="B25" i="51"/>
  <c r="B24" i="51"/>
  <c r="D19" i="51"/>
  <c r="D20" i="51"/>
  <c r="B20" i="51"/>
  <c r="B19" i="51"/>
  <c r="D14" i="51"/>
  <c r="D13" i="51"/>
  <c r="D12" i="51"/>
  <c r="D11" i="51"/>
  <c r="D10" i="51"/>
  <c r="D9" i="51"/>
  <c r="B14" i="51"/>
  <c r="B13" i="51"/>
  <c r="B12" i="51"/>
  <c r="B11" i="51"/>
  <c r="B10" i="51"/>
  <c r="B9" i="51"/>
  <c r="D17" i="51"/>
  <c r="D16" i="51"/>
  <c r="B17" i="51"/>
  <c r="B16" i="51"/>
  <c r="D28" i="51"/>
  <c r="D27" i="51"/>
  <c r="B28" i="51"/>
  <c r="B27" i="51"/>
  <c r="B4" i="51"/>
  <c r="F1" i="51"/>
  <c r="C8" i="4"/>
  <c r="D8" i="4" s="1"/>
  <c r="G8" i="4"/>
  <c r="H8" i="4" s="1"/>
  <c r="E8" i="4"/>
  <c r="F8" i="4" s="1"/>
</calcChain>
</file>

<file path=xl/sharedStrings.xml><?xml version="1.0" encoding="utf-8"?>
<sst xmlns="http://schemas.openxmlformats.org/spreadsheetml/2006/main" count="98" uniqueCount="78">
  <si>
    <t>Id Defecto:</t>
  </si>
  <si>
    <t>Defecto o mejora:</t>
  </si>
  <si>
    <t>Título del problema:</t>
  </si>
  <si>
    <t>Descripción del problema:</t>
  </si>
  <si>
    <t>Fecha:</t>
  </si>
  <si>
    <t>Área del defecto:</t>
  </si>
  <si>
    <t>Otros entornos:</t>
  </si>
  <si>
    <t>Tipo de defecto:</t>
  </si>
  <si>
    <t>Quién detectó:</t>
  </si>
  <si>
    <t>Cómo fue detectado:</t>
  </si>
  <si>
    <t>Asignado a:</t>
  </si>
  <si>
    <t>Individuo asignado para investigar problema</t>
  </si>
  <si>
    <t>Prioridad:</t>
  </si>
  <si>
    <t>Severidad:</t>
  </si>
  <si>
    <t>Estado:</t>
  </si>
  <si>
    <t>Descripción del estado:</t>
  </si>
  <si>
    <t>(Requerido cuando el estado = “Devuelto por Desarrollo”, “Listo para probar en la siguiente versión")</t>
  </si>
  <si>
    <t>Arreglado por:</t>
  </si>
  <si>
    <t>(Requerido cuando el estado = “Listo para probar en la siguiente versión”)</t>
  </si>
  <si>
    <t>Arreglo previsto para la versión:</t>
  </si>
  <si>
    <t>Entorno:</t>
  </si>
  <si>
    <t>Tester:</t>
  </si>
  <si>
    <t>Sistema:</t>
  </si>
  <si>
    <t>Versión:</t>
  </si>
  <si>
    <t>Revisión:</t>
  </si>
  <si>
    <t>Caso de Prueba:</t>
  </si>
  <si>
    <t>Nombre de la prueba:</t>
  </si>
  <si>
    <t xml:space="preserve">Autor del caso de prueba: </t>
  </si>
  <si>
    <t xml:space="preserve">Tester: </t>
  </si>
  <si>
    <t>Fecha prueba:</t>
  </si>
  <si>
    <t>Crítico</t>
  </si>
  <si>
    <t>Alto</t>
  </si>
  <si>
    <t>Medio</t>
  </si>
  <si>
    <t>Bajo</t>
  </si>
  <si>
    <t>Testing y Calidad</t>
  </si>
  <si>
    <t>Desarrollo</t>
  </si>
  <si>
    <t>Usuario externo</t>
  </si>
  <si>
    <t>Usuario interno</t>
  </si>
  <si>
    <t>Arquitectónico</t>
  </si>
  <si>
    <t>Conectividad</t>
  </si>
  <si>
    <t>Consistencia</t>
  </si>
  <si>
    <t>Integridad de la BD</t>
  </si>
  <si>
    <t>Documentación</t>
  </si>
  <si>
    <t>Funcionalidad</t>
  </si>
  <si>
    <t>Otros</t>
  </si>
  <si>
    <t>GUI</t>
  </si>
  <si>
    <t>Performance</t>
  </si>
  <si>
    <t>Seguridad y controles</t>
  </si>
  <si>
    <t>Estándares y convenciones</t>
  </si>
  <si>
    <t>Usabilidad</t>
  </si>
  <si>
    <t>Revisión</t>
  </si>
  <si>
    <t>Recorrido</t>
  </si>
  <si>
    <t>JAD (Joint Application Designs)</t>
  </si>
  <si>
    <t>Prueba</t>
  </si>
  <si>
    <t>Cerrado (Testing y Calidad)</t>
  </si>
  <si>
    <t>Devuelto por (Testing y Calidad)</t>
  </si>
  <si>
    <t>Diferido para la siguiente versión</t>
  </si>
  <si>
    <t>Abierto</t>
  </si>
  <si>
    <t>Siendo revisado por Desarrollo</t>
  </si>
  <si>
    <t>Devuelto por Desarrollo</t>
  </si>
  <si>
    <t>Listo para probar en la siguiente versión</t>
  </si>
  <si>
    <t>Id Defecto</t>
  </si>
  <si>
    <t>Tipo de defecto</t>
  </si>
  <si>
    <t>Prioridad</t>
  </si>
  <si>
    <t>Severidad</t>
  </si>
  <si>
    <t>Ir a inicio</t>
  </si>
  <si>
    <t>Título del problema</t>
  </si>
  <si>
    <t>Descripción del problema</t>
  </si>
  <si>
    <t>Ciclo:</t>
  </si>
  <si>
    <t>Perez, Juan</t>
  </si>
  <si>
    <t>Rodriguez, Marcelo</t>
  </si>
  <si>
    <t>1.0.0</t>
  </si>
  <si>
    <t>homologacion</t>
  </si>
  <si>
    <t>Pruebas al Proyecto Final</t>
  </si>
  <si>
    <t>PF</t>
  </si>
  <si>
    <t>DM-PF-001</t>
  </si>
  <si>
    <t>Error en la funcionalidad …. Muestra mensaje de error …</t>
  </si>
  <si>
    <t>TC-PF-001-07, TC-PF-001-08 y TC-PF-001-09.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</si>
</sst>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Tahoma"/>
    </font>
    <font>
      <sz val="9"/>
      <name val="Tahoma"/>
      <family val="2"/>
    </font>
    <font>
      <sz val="9"/>
      <name val="Tahoma"/>
    </font>
    <font>
      <sz val="9"/>
      <name val="Wingdings"/>
      <charset val="2"/>
    </font>
    <font>
      <sz val="9"/>
      <name val="Times New Roman"/>
      <family val="1"/>
    </font>
    <font>
      <b/>
      <sz val="9"/>
      <name val="Tahoma"/>
      <family val="2"/>
    </font>
    <font>
      <i/>
      <sz val="7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u/>
      <sz val="10"/>
      <color indexed="12"/>
      <name val="Tahoma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5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3" fillId="0" borderId="7" xfId="0" applyFont="1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4" fillId="0" borderId="8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5" fillId="0" borderId="9" xfId="0" applyFont="1" applyBorder="1" applyAlignment="1">
      <alignment horizontal="justify" vertical="center"/>
    </xf>
    <xf numFmtId="0" fontId="8" fillId="0" borderId="9" xfId="0" applyFont="1" applyBorder="1" applyAlignment="1">
      <alignment vertical="center"/>
    </xf>
    <xf numFmtId="0" fontId="3" fillId="0" borderId="3" xfId="0" applyFont="1" applyBorder="1" applyAlignment="1">
      <alignment horizontal="left" vertical="center" indent="6"/>
    </xf>
    <xf numFmtId="0" fontId="3" fillId="0" borderId="6" xfId="0" applyFont="1" applyBorder="1" applyAlignment="1">
      <alignment horizontal="left" vertical="center" indent="6"/>
    </xf>
    <xf numFmtId="0" fontId="7" fillId="0" borderId="0" xfId="0" applyFont="1"/>
    <xf numFmtId="0" fontId="1" fillId="0" borderId="10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5" fillId="0" borderId="1" xfId="0" applyFont="1" applyBorder="1" applyAlignment="1">
      <alignment horizontal="justify" vertical="center"/>
    </xf>
    <xf numFmtId="3" fontId="7" fillId="0" borderId="5" xfId="0" applyNumberFormat="1" applyFont="1" applyBorder="1" applyAlignment="1">
      <alignment horizontal="left" vertical="center"/>
    </xf>
    <xf numFmtId="0" fontId="5" fillId="0" borderId="6" xfId="0" applyFont="1" applyBorder="1" applyAlignment="1">
      <alignment horizontal="justify" vertical="center"/>
    </xf>
    <xf numFmtId="0" fontId="1" fillId="0" borderId="8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9" fillId="0" borderId="0" xfId="1" applyAlignment="1" applyProtection="1"/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8" fillId="0" borderId="0" xfId="0" applyFont="1" applyBorder="1"/>
    <xf numFmtId="0" fontId="1" fillId="0" borderId="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0" fillId="0" borderId="0" xfId="0" applyFill="1" applyAlignment="1">
      <alignment horizontal="left" vertical="top" wrapText="1"/>
    </xf>
    <xf numFmtId="0" fontId="8" fillId="0" borderId="0" xfId="0" applyFont="1" applyFill="1" applyAlignment="1">
      <alignment vertical="top"/>
    </xf>
    <xf numFmtId="0" fontId="0" fillId="0" borderId="0" xfId="0" applyFill="1" applyAlignment="1">
      <alignment horizontal="left" vertical="top"/>
    </xf>
    <xf numFmtId="0" fontId="8" fillId="0" borderId="0" xfId="0" applyFont="1" applyFill="1"/>
    <xf numFmtId="0" fontId="0" fillId="0" borderId="0" xfId="0" applyFill="1" applyAlignment="1">
      <alignment horizontal="left"/>
    </xf>
    <xf numFmtId="0" fontId="8" fillId="0" borderId="0" xfId="0" applyFont="1" applyAlignment="1">
      <alignment horizontal="left" vertical="top"/>
    </xf>
    <xf numFmtId="3" fontId="0" fillId="0" borderId="0" xfId="0" applyNumberFormat="1" applyFill="1" applyAlignment="1">
      <alignment horizontal="left"/>
    </xf>
    <xf numFmtId="0" fontId="0" fillId="0" borderId="11" xfId="0" applyBorder="1" applyAlignment="1">
      <alignment horizontal="left" vertical="top" wrapText="1"/>
    </xf>
    <xf numFmtId="0" fontId="9" fillId="0" borderId="11" xfId="1" applyBorder="1" applyAlignment="1" applyProtection="1">
      <alignment horizontal="center" vertical="center"/>
    </xf>
    <xf numFmtId="14" fontId="0" fillId="0" borderId="0" xfId="0" applyNumberFormat="1" applyFill="1" applyAlignment="1">
      <alignment horizontal="left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1" fillId="0" borderId="8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14" fontId="1" fillId="0" borderId="17" xfId="0" applyNumberFormat="1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0" fontId="6" fillId="0" borderId="8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"/>
  <sheetViews>
    <sheetView tabSelected="1" workbookViewId="0"/>
  </sheetViews>
  <sheetFormatPr baseColWidth="10" defaultRowHeight="12.5" x14ac:dyDescent="0.25"/>
  <cols>
    <col min="1" max="1" width="26.1796875" bestFit="1" customWidth="1"/>
    <col min="2" max="2" width="36.26953125" customWidth="1"/>
    <col min="3" max="3" width="8.453125" hidden="1" customWidth="1"/>
    <col min="4" max="4" width="19" customWidth="1"/>
    <col min="5" max="5" width="2" hidden="1" customWidth="1"/>
    <col min="6" max="6" width="12" customWidth="1"/>
    <col min="7" max="7" width="6.81640625" hidden="1" customWidth="1"/>
    <col min="8" max="8" width="11.1796875" customWidth="1"/>
    <col min="9" max="9" width="40.7265625" customWidth="1"/>
    <col min="10" max="10" width="34.7265625" customWidth="1"/>
    <col min="11" max="11" width="3.26953125" bestFit="1" customWidth="1"/>
  </cols>
  <sheetData>
    <row r="1" spans="1:15" x14ac:dyDescent="0.25">
      <c r="A1" s="57" t="s">
        <v>26</v>
      </c>
      <c r="B1" s="52" t="s">
        <v>73</v>
      </c>
      <c r="C1" s="25"/>
      <c r="D1" s="25"/>
      <c r="H1" s="53" t="s">
        <v>22</v>
      </c>
      <c r="I1" s="54" t="s">
        <v>74</v>
      </c>
      <c r="K1" s="25"/>
      <c r="L1" s="25">
        <v>1</v>
      </c>
      <c r="M1" s="25" t="s">
        <v>30</v>
      </c>
      <c r="N1" s="25">
        <v>1</v>
      </c>
      <c r="O1" t="s">
        <v>38</v>
      </c>
    </row>
    <row r="2" spans="1:15" x14ac:dyDescent="0.25">
      <c r="A2" s="51" t="s">
        <v>27</v>
      </c>
      <c r="B2" s="58" t="s">
        <v>69</v>
      </c>
      <c r="C2" s="25"/>
      <c r="D2" s="25"/>
      <c r="H2" s="55" t="s">
        <v>23</v>
      </c>
      <c r="I2" s="56" t="s">
        <v>71</v>
      </c>
      <c r="K2" s="25"/>
      <c r="L2" s="25">
        <v>2</v>
      </c>
      <c r="M2" s="25" t="s">
        <v>31</v>
      </c>
      <c r="N2" s="25">
        <v>2</v>
      </c>
      <c r="O2" t="s">
        <v>39</v>
      </c>
    </row>
    <row r="3" spans="1:15" x14ac:dyDescent="0.25">
      <c r="A3" s="51" t="s">
        <v>28</v>
      </c>
      <c r="B3" s="58" t="s">
        <v>70</v>
      </c>
      <c r="H3" s="55" t="s">
        <v>24</v>
      </c>
      <c r="I3" s="56">
        <v>1</v>
      </c>
      <c r="K3" s="25"/>
      <c r="L3" s="25">
        <v>3</v>
      </c>
      <c r="M3" s="25" t="s">
        <v>32</v>
      </c>
      <c r="N3" s="25">
        <v>3</v>
      </c>
      <c r="O3" t="s">
        <v>40</v>
      </c>
    </row>
    <row r="4" spans="1:15" x14ac:dyDescent="0.25">
      <c r="A4" s="51" t="s">
        <v>29</v>
      </c>
      <c r="B4" s="61">
        <f ca="1">TODAY()</f>
        <v>43033</v>
      </c>
      <c r="E4" s="25"/>
      <c r="F4" s="25"/>
      <c r="G4" s="25"/>
      <c r="H4" s="55" t="s">
        <v>68</v>
      </c>
      <c r="I4" s="56">
        <v>1</v>
      </c>
      <c r="K4" s="25"/>
      <c r="L4" s="25">
        <v>4</v>
      </c>
      <c r="M4" s="25" t="s">
        <v>33</v>
      </c>
      <c r="N4" s="25">
        <v>4</v>
      </c>
      <c r="O4" t="s">
        <v>41</v>
      </c>
    </row>
    <row r="5" spans="1:15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>
        <v>5</v>
      </c>
      <c r="O5" t="s">
        <v>42</v>
      </c>
    </row>
    <row r="6" spans="1:15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>
        <v>6</v>
      </c>
      <c r="O6" t="s">
        <v>43</v>
      </c>
    </row>
    <row r="7" spans="1:15" x14ac:dyDescent="0.25">
      <c r="A7" s="42" t="s">
        <v>61</v>
      </c>
      <c r="B7" s="42" t="s">
        <v>66</v>
      </c>
      <c r="C7" s="62" t="s">
        <v>62</v>
      </c>
      <c r="D7" s="62"/>
      <c r="E7" s="62" t="s">
        <v>63</v>
      </c>
      <c r="F7" s="62"/>
      <c r="G7" s="62" t="s">
        <v>64</v>
      </c>
      <c r="H7" s="62"/>
      <c r="I7" s="50" t="s">
        <v>67</v>
      </c>
      <c r="J7" s="48"/>
      <c r="K7" s="40"/>
      <c r="L7" s="40"/>
      <c r="M7" s="41"/>
      <c r="N7" s="25">
        <v>7</v>
      </c>
      <c r="O7" t="s">
        <v>45</v>
      </c>
    </row>
    <row r="8" spans="1:15" ht="25" x14ac:dyDescent="0.25">
      <c r="A8" s="60" t="s">
        <v>75</v>
      </c>
      <c r="B8" s="44" t="str">
        <f>'DM-PF-001'!F$3</f>
        <v>Error en TC-PF-001-07, TC-PF-001-08 y TC-PF-001-09.</v>
      </c>
      <c r="C8" s="45">
        <f>'DM-PF-001'!G$8</f>
        <v>6</v>
      </c>
      <c r="D8" s="45" t="str">
        <f>VLOOKUP(C8,$N$1:$O$8,2,FALSE)</f>
        <v>Funcionalidad</v>
      </c>
      <c r="E8" s="45">
        <f>'DM-PF-001'!G$23</f>
        <v>2</v>
      </c>
      <c r="F8" s="45" t="str">
        <f>VLOOKUP(E8,$L$1:$M$4,2,FALSE)</f>
        <v>Alto</v>
      </c>
      <c r="G8" s="45">
        <f>'DM-PF-001'!G$26</f>
        <v>2</v>
      </c>
      <c r="H8" s="45" t="str">
        <f>VLOOKUP(G8,$L$1:$M$4,2,FALSE)</f>
        <v>Alto</v>
      </c>
      <c r="I8" s="59" t="s">
        <v>76</v>
      </c>
      <c r="J8" s="49"/>
      <c r="K8" s="47"/>
      <c r="N8" s="25">
        <v>8</v>
      </c>
      <c r="O8" t="s">
        <v>46</v>
      </c>
    </row>
  </sheetData>
  <mergeCells count="3">
    <mergeCell ref="G7:H7"/>
    <mergeCell ref="E7:F7"/>
    <mergeCell ref="C7:D7"/>
  </mergeCells>
  <phoneticPr fontId="0" type="noConversion"/>
  <hyperlinks>
    <hyperlink ref="A8" location="'DM-PF-001'!A1" display="DM-PF-001"/>
  </hyperlinks>
  <printOptions horizontalCentered="1"/>
  <pageMargins left="0.78740157480314965" right="0.78740157480314965" top="0.78740157480314965" bottom="0.59055118110236227" header="0.39370078740157483" footer="0.39370078740157483"/>
  <pageSetup paperSize="9" scale="92" fitToHeight="1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Views>
    <sheetView workbookViewId="0">
      <selection activeCell="G1" sqref="G1"/>
    </sheetView>
  </sheetViews>
  <sheetFormatPr baseColWidth="10" defaultRowHeight="12.5" x14ac:dyDescent="0.25"/>
  <cols>
    <col min="1" max="1" width="15.7265625" customWidth="1"/>
    <col min="2" max="2" width="2.7265625" customWidth="1"/>
    <col min="3" max="3" width="25.7265625" customWidth="1"/>
    <col min="4" max="4" width="19" customWidth="1"/>
    <col min="5" max="5" width="18.453125" customWidth="1"/>
    <col min="6" max="6" width="25.7265625" customWidth="1"/>
    <col min="7" max="7" width="8.54296875" bestFit="1" customWidth="1"/>
  </cols>
  <sheetData>
    <row r="1" spans="1:7" ht="18" customHeight="1" x14ac:dyDescent="0.25">
      <c r="A1" s="34" t="s">
        <v>0</v>
      </c>
      <c r="B1" s="78" t="str">
        <f ca="1">MID(CELL("nombrearchivo",A1),FIND("]",CELL("nombrearchivo",A1))+1,FIND("]",CELL("nombrearchivo",A1))-FIND("[",CELL("nombrearchivo",A1))-1)</f>
        <v>DM-PF-001</v>
      </c>
      <c r="C1" s="78"/>
      <c r="D1" s="72" t="s">
        <v>21</v>
      </c>
      <c r="E1" s="73"/>
      <c r="F1" s="35" t="str">
        <f>'Registro DM-PF'!B3</f>
        <v>Rodriguez, Marcelo</v>
      </c>
      <c r="G1" s="43" t="s">
        <v>65</v>
      </c>
    </row>
    <row r="2" spans="1:7" ht="18" customHeight="1" x14ac:dyDescent="0.25">
      <c r="A2" s="21" t="s">
        <v>4</v>
      </c>
      <c r="B2" s="79">
        <f ca="1">'Registro DM-PF'!B4</f>
        <v>43033</v>
      </c>
      <c r="C2" s="79"/>
      <c r="D2" s="74" t="s">
        <v>1</v>
      </c>
      <c r="E2" s="75"/>
      <c r="F2" s="26"/>
    </row>
    <row r="3" spans="1:7" ht="23" x14ac:dyDescent="0.25">
      <c r="A3" s="22" t="s">
        <v>22</v>
      </c>
      <c r="B3" s="80" t="str">
        <f>'Registro DM-PF'!I1</f>
        <v>PF</v>
      </c>
      <c r="C3" s="81"/>
      <c r="D3" s="74" t="s">
        <v>2</v>
      </c>
      <c r="E3" s="75"/>
      <c r="F3" s="46" t="str">
        <f>CONCATENATE("Error en ",F4)</f>
        <v>Error en TC-PF-001-07, TC-PF-001-08 y TC-PF-001-09.</v>
      </c>
    </row>
    <row r="4" spans="1:7" ht="23" x14ac:dyDescent="0.25">
      <c r="A4" s="21" t="s">
        <v>23</v>
      </c>
      <c r="B4" s="65" t="str">
        <f>'Registro DM-PF'!I2</f>
        <v>1.0.0</v>
      </c>
      <c r="C4" s="65"/>
      <c r="D4" s="76" t="s">
        <v>25</v>
      </c>
      <c r="E4" s="77"/>
      <c r="F4" s="46" t="s">
        <v>77</v>
      </c>
    </row>
    <row r="5" spans="1:7" ht="18" customHeight="1" x14ac:dyDescent="0.25">
      <c r="A5" s="21" t="s">
        <v>24</v>
      </c>
      <c r="B5" s="65">
        <f>'Registro DM-PF'!I3</f>
        <v>1</v>
      </c>
      <c r="C5" s="65"/>
      <c r="D5" s="74" t="s">
        <v>20</v>
      </c>
      <c r="E5" s="75"/>
      <c r="F5" s="46" t="s">
        <v>72</v>
      </c>
    </row>
    <row r="6" spans="1:7" ht="18" customHeight="1" thickBot="1" x14ac:dyDescent="0.3">
      <c r="A6" s="36" t="s">
        <v>5</v>
      </c>
      <c r="B6" s="66"/>
      <c r="C6" s="66"/>
      <c r="D6" s="91" t="s">
        <v>6</v>
      </c>
      <c r="E6" s="92"/>
      <c r="F6" s="37"/>
    </row>
    <row r="7" spans="1:7" ht="29.25" customHeight="1" thickBot="1" x14ac:dyDescent="0.3">
      <c r="A7" s="69" t="s">
        <v>3</v>
      </c>
      <c r="B7" s="70"/>
      <c r="C7" s="93" t="str">
        <f ca="1">VLOOKUP(B1,'Registro DM-PF'!A8:I8,9,FALSE)</f>
        <v>Error en la funcionalidad …. Muestra mensaje de error …</v>
      </c>
      <c r="D7" s="70"/>
      <c r="E7" s="70"/>
      <c r="F7" s="94"/>
    </row>
    <row r="8" spans="1:7" x14ac:dyDescent="0.25">
      <c r="A8" s="9" t="s">
        <v>7</v>
      </c>
      <c r="B8" s="28"/>
      <c r="C8" s="10"/>
      <c r="D8" s="10"/>
      <c r="E8" s="10"/>
      <c r="F8" s="20"/>
      <c r="G8" s="33">
        <v>6</v>
      </c>
    </row>
    <row r="9" spans="1:7" x14ac:dyDescent="0.25">
      <c r="A9" s="3"/>
      <c r="B9" s="38" t="str">
        <f>IF($G$8=1,"þ","¨")</f>
        <v>¨</v>
      </c>
      <c r="C9" s="31" t="s">
        <v>38</v>
      </c>
      <c r="D9" s="38" t="str">
        <f>IF($G$8=7,"þ","¨")</f>
        <v>¨</v>
      </c>
      <c r="E9" s="67" t="s">
        <v>45</v>
      </c>
      <c r="F9" s="68"/>
    </row>
    <row r="10" spans="1:7" x14ac:dyDescent="0.25">
      <c r="A10" s="3"/>
      <c r="B10" s="38" t="str">
        <f>IF($G$8=2,"þ","¨")</f>
        <v>¨</v>
      </c>
      <c r="C10" s="31" t="s">
        <v>39</v>
      </c>
      <c r="D10" s="38" t="str">
        <f>IF($G$8=8,"þ","¨")</f>
        <v>¨</v>
      </c>
      <c r="E10" s="67" t="s">
        <v>46</v>
      </c>
      <c r="F10" s="68"/>
    </row>
    <row r="11" spans="1:7" x14ac:dyDescent="0.25">
      <c r="A11" s="3"/>
      <c r="B11" s="38" t="str">
        <f>IF($G$8=3,"þ","¨")</f>
        <v>¨</v>
      </c>
      <c r="C11" s="31" t="s">
        <v>40</v>
      </c>
      <c r="D11" s="38" t="str">
        <f>IF($G$8=9,"þ","¨")</f>
        <v>¨</v>
      </c>
      <c r="E11" s="67" t="s">
        <v>47</v>
      </c>
      <c r="F11" s="68"/>
    </row>
    <row r="12" spans="1:7" x14ac:dyDescent="0.25">
      <c r="A12" s="3"/>
      <c r="B12" s="38" t="str">
        <f>IF($G$8=4,"þ","¨")</f>
        <v>¨</v>
      </c>
      <c r="C12" s="31" t="s">
        <v>41</v>
      </c>
      <c r="D12" s="38" t="str">
        <f>IF($G$8=10,"þ","¨")</f>
        <v>¨</v>
      </c>
      <c r="E12" s="67" t="s">
        <v>48</v>
      </c>
      <c r="F12" s="68"/>
    </row>
    <row r="13" spans="1:7" x14ac:dyDescent="0.25">
      <c r="A13" s="3"/>
      <c r="B13" s="38" t="str">
        <f>IF($G$8=5,"þ","¨")</f>
        <v>¨</v>
      </c>
      <c r="C13" s="31" t="s">
        <v>42</v>
      </c>
      <c r="D13" s="38" t="str">
        <f>IF($G$8=11,"þ","¨")</f>
        <v>¨</v>
      </c>
      <c r="E13" s="67" t="s">
        <v>49</v>
      </c>
      <c r="F13" s="68"/>
    </row>
    <row r="14" spans="1:7" ht="13" thickBot="1" x14ac:dyDescent="0.3">
      <c r="A14" s="3"/>
      <c r="B14" s="38" t="str">
        <f>IF($G$8=6,"þ","¨")</f>
        <v>þ</v>
      </c>
      <c r="C14" s="31" t="s">
        <v>43</v>
      </c>
      <c r="D14" s="38" t="str">
        <f>IF($G$8=12,"þ","¨")</f>
        <v>¨</v>
      </c>
      <c r="E14" s="66" t="s">
        <v>44</v>
      </c>
      <c r="F14" s="71"/>
    </row>
    <row r="15" spans="1:7" x14ac:dyDescent="0.25">
      <c r="A15" s="1" t="s">
        <v>8</v>
      </c>
      <c r="B15" s="29"/>
      <c r="C15" s="2"/>
      <c r="D15" s="2"/>
      <c r="E15" s="2"/>
      <c r="F15" s="5"/>
      <c r="G15" s="33">
        <v>4</v>
      </c>
    </row>
    <row r="16" spans="1:7" x14ac:dyDescent="0.25">
      <c r="A16" s="3"/>
      <c r="B16" s="38" t="str">
        <f>IF($G$15=1,"þ","¨")</f>
        <v>¨</v>
      </c>
      <c r="C16" s="31" t="s">
        <v>36</v>
      </c>
      <c r="D16" s="38" t="str">
        <f>IF($G$15=3,"þ","¨")</f>
        <v>¨</v>
      </c>
      <c r="E16" s="67" t="s">
        <v>35</v>
      </c>
      <c r="F16" s="68"/>
    </row>
    <row r="17" spans="1:7" ht="13" thickBot="1" x14ac:dyDescent="0.3">
      <c r="A17" s="6"/>
      <c r="B17" s="39" t="str">
        <f>IF($G$15=2,"þ","¨")</f>
        <v>¨</v>
      </c>
      <c r="C17" s="32" t="s">
        <v>37</v>
      </c>
      <c r="D17" s="39" t="str">
        <f>IF($G$15=4,"þ","¨")</f>
        <v>þ</v>
      </c>
      <c r="E17" s="66" t="s">
        <v>34</v>
      </c>
      <c r="F17" s="71"/>
    </row>
    <row r="18" spans="1:7" x14ac:dyDescent="0.25">
      <c r="A18" s="9" t="s">
        <v>9</v>
      </c>
      <c r="B18" s="28"/>
      <c r="C18" s="10"/>
      <c r="D18" s="10"/>
      <c r="E18" s="10"/>
      <c r="F18" s="11"/>
      <c r="G18" s="33">
        <v>4</v>
      </c>
    </row>
    <row r="19" spans="1:7" x14ac:dyDescent="0.25">
      <c r="A19" s="3"/>
      <c r="B19" s="38" t="str">
        <f>IF($G$18=1,"þ","¨")</f>
        <v>¨</v>
      </c>
      <c r="C19" s="31" t="s">
        <v>50</v>
      </c>
      <c r="D19" s="38" t="str">
        <f>IF($G$18=3,"þ","¨")</f>
        <v>¨</v>
      </c>
      <c r="E19" s="67" t="s">
        <v>52</v>
      </c>
      <c r="F19" s="68"/>
    </row>
    <row r="20" spans="1:7" ht="13" thickBot="1" x14ac:dyDescent="0.3">
      <c r="A20" s="3"/>
      <c r="B20" s="38" t="str">
        <f>IF($G$18=2,"þ","¨")</f>
        <v>¨</v>
      </c>
      <c r="C20" s="31" t="s">
        <v>51</v>
      </c>
      <c r="D20" s="38" t="str">
        <f>IF($G$18=4,"þ","¨")</f>
        <v>þ</v>
      </c>
      <c r="E20" s="66" t="s">
        <v>53</v>
      </c>
      <c r="F20" s="71"/>
    </row>
    <row r="21" spans="1:7" x14ac:dyDescent="0.25">
      <c r="A21" s="27" t="s">
        <v>10</v>
      </c>
      <c r="B21" s="63"/>
      <c r="C21" s="63"/>
      <c r="D21" s="63"/>
      <c r="E21" s="63"/>
      <c r="F21" s="64"/>
    </row>
    <row r="22" spans="1:7" ht="13" thickBot="1" x14ac:dyDescent="0.3">
      <c r="A22" s="82" t="s">
        <v>11</v>
      </c>
      <c r="B22" s="83"/>
      <c r="C22" s="83"/>
      <c r="D22" s="83"/>
      <c r="E22" s="83"/>
      <c r="F22" s="84"/>
    </row>
    <row r="23" spans="1:7" x14ac:dyDescent="0.25">
      <c r="A23" s="9" t="s">
        <v>12</v>
      </c>
      <c r="B23" s="28"/>
      <c r="C23" s="10"/>
      <c r="D23" s="10"/>
      <c r="E23" s="10"/>
      <c r="F23" s="11"/>
      <c r="G23" s="33">
        <v>2</v>
      </c>
    </row>
    <row r="24" spans="1:7" x14ac:dyDescent="0.25">
      <c r="A24" s="3"/>
      <c r="B24" s="38" t="str">
        <f>IF($G$23=1,"þ","¨")</f>
        <v>¨</v>
      </c>
      <c r="C24" s="31" t="s">
        <v>30</v>
      </c>
      <c r="D24" s="38" t="str">
        <f>IF($G$23=3,"þ","¨")</f>
        <v>¨</v>
      </c>
      <c r="E24" s="31" t="s">
        <v>32</v>
      </c>
      <c r="F24" s="4"/>
    </row>
    <row r="25" spans="1:7" ht="13" thickBot="1" x14ac:dyDescent="0.3">
      <c r="A25" s="3"/>
      <c r="B25" s="38" t="str">
        <f>IF($G$23=2,"þ","¨")</f>
        <v>þ</v>
      </c>
      <c r="C25" s="31" t="s">
        <v>31</v>
      </c>
      <c r="D25" s="38" t="str">
        <f>IF($G$23=4,"þ","¨")</f>
        <v>¨</v>
      </c>
      <c r="E25" s="31" t="s">
        <v>33</v>
      </c>
      <c r="F25" s="4"/>
    </row>
    <row r="26" spans="1:7" x14ac:dyDescent="0.25">
      <c r="A26" s="12" t="s">
        <v>13</v>
      </c>
      <c r="B26" s="30"/>
      <c r="C26" s="13"/>
      <c r="D26" s="13"/>
      <c r="E26" s="13"/>
      <c r="F26" s="14"/>
      <c r="G26" s="33">
        <v>2</v>
      </c>
    </row>
    <row r="27" spans="1:7" x14ac:dyDescent="0.25">
      <c r="A27" s="3"/>
      <c r="B27" s="38" t="str">
        <f>IF($G$26=1,"þ","¨")</f>
        <v>¨</v>
      </c>
      <c r="C27" s="31" t="s">
        <v>30</v>
      </c>
      <c r="D27" s="38" t="str">
        <f>IF($G$26=3,"þ","¨")</f>
        <v>¨</v>
      </c>
      <c r="E27" s="31" t="s">
        <v>32</v>
      </c>
      <c r="F27" s="4"/>
    </row>
    <row r="28" spans="1:7" ht="13" thickBot="1" x14ac:dyDescent="0.3">
      <c r="A28" s="6"/>
      <c r="B28" s="39" t="str">
        <f>IF($G$26=2,"þ","¨")</f>
        <v>þ</v>
      </c>
      <c r="C28" s="32" t="s">
        <v>31</v>
      </c>
      <c r="D28" s="39" t="str">
        <f>IF($G$26=4,"þ","¨")</f>
        <v>¨</v>
      </c>
      <c r="E28" s="32" t="s">
        <v>33</v>
      </c>
      <c r="F28" s="8"/>
    </row>
    <row r="29" spans="1:7" x14ac:dyDescent="0.25">
      <c r="A29" s="1" t="s">
        <v>14</v>
      </c>
      <c r="B29" s="29"/>
      <c r="C29" s="2"/>
      <c r="D29" s="2"/>
      <c r="E29" s="15"/>
      <c r="F29" s="14"/>
      <c r="G29" s="33">
        <v>1</v>
      </c>
    </row>
    <row r="30" spans="1:7" x14ac:dyDescent="0.25">
      <c r="A30" s="23"/>
      <c r="B30" s="38" t="str">
        <f>IF($G$29=1,"þ","¨")</f>
        <v>þ</v>
      </c>
      <c r="C30" s="16" t="s">
        <v>57</v>
      </c>
      <c r="D30" s="38" t="str">
        <f>IF($G$29=5,"þ","¨")</f>
        <v>¨</v>
      </c>
      <c r="E30" s="31" t="s">
        <v>54</v>
      </c>
      <c r="F30" s="4"/>
    </row>
    <row r="31" spans="1:7" x14ac:dyDescent="0.25">
      <c r="A31" s="23"/>
      <c r="B31" s="38" t="str">
        <f>IF($G$29=2,"þ","¨")</f>
        <v>¨</v>
      </c>
      <c r="C31" s="16" t="s">
        <v>58</v>
      </c>
      <c r="D31" s="38" t="str">
        <f>IF($G$29=6,"þ","¨")</f>
        <v>¨</v>
      </c>
      <c r="E31" s="31" t="s">
        <v>55</v>
      </c>
      <c r="F31" s="4"/>
    </row>
    <row r="32" spans="1:7" x14ac:dyDescent="0.25">
      <c r="A32" s="23"/>
      <c r="B32" s="38" t="str">
        <f>IF($G$29=3,"þ","¨")</f>
        <v>¨</v>
      </c>
      <c r="C32" s="16" t="s">
        <v>59</v>
      </c>
      <c r="D32" s="38" t="str">
        <f>IF($G$29=7,"þ","¨")</f>
        <v>¨</v>
      </c>
      <c r="E32" s="31" t="s">
        <v>56</v>
      </c>
      <c r="F32" s="4"/>
    </row>
    <row r="33" spans="1:6" ht="13" thickBot="1" x14ac:dyDescent="0.3">
      <c r="A33" s="24"/>
      <c r="B33" s="39" t="str">
        <f>IF($G$29=4,"þ","¨")</f>
        <v>¨</v>
      </c>
      <c r="C33" s="17" t="s">
        <v>60</v>
      </c>
      <c r="D33" s="7"/>
      <c r="E33" s="18"/>
      <c r="F33" s="19"/>
    </row>
    <row r="34" spans="1:6" x14ac:dyDescent="0.25">
      <c r="A34" s="85" t="s">
        <v>15</v>
      </c>
      <c r="B34" s="86"/>
      <c r="C34" s="86"/>
      <c r="D34" s="86"/>
      <c r="E34" s="86"/>
      <c r="F34" s="87"/>
    </row>
    <row r="35" spans="1:6" x14ac:dyDescent="0.25">
      <c r="A35" s="88"/>
      <c r="B35" s="89"/>
      <c r="C35" s="89"/>
      <c r="D35" s="89"/>
      <c r="E35" s="89"/>
      <c r="F35" s="90"/>
    </row>
    <row r="36" spans="1:6" ht="13" thickBot="1" x14ac:dyDescent="0.3">
      <c r="A36" s="82" t="s">
        <v>16</v>
      </c>
      <c r="B36" s="83"/>
      <c r="C36" s="83"/>
      <c r="D36" s="83"/>
      <c r="E36" s="83"/>
      <c r="F36" s="84"/>
    </row>
    <row r="37" spans="1:6" x14ac:dyDescent="0.25">
      <c r="A37" s="85" t="s">
        <v>17</v>
      </c>
      <c r="B37" s="86"/>
      <c r="C37" s="86"/>
      <c r="D37" s="86"/>
      <c r="E37" s="86"/>
      <c r="F37" s="87"/>
    </row>
    <row r="38" spans="1:6" x14ac:dyDescent="0.25">
      <c r="A38" s="88"/>
      <c r="B38" s="89"/>
      <c r="C38" s="89"/>
      <c r="D38" s="89"/>
      <c r="E38" s="89"/>
      <c r="F38" s="90"/>
    </row>
    <row r="39" spans="1:6" ht="13" thickBot="1" x14ac:dyDescent="0.3">
      <c r="A39" s="82" t="s">
        <v>18</v>
      </c>
      <c r="B39" s="83"/>
      <c r="C39" s="83"/>
      <c r="D39" s="83"/>
      <c r="E39" s="83"/>
      <c r="F39" s="84"/>
    </row>
    <row r="40" spans="1:6" x14ac:dyDescent="0.25">
      <c r="A40" s="85" t="s">
        <v>19</v>
      </c>
      <c r="B40" s="86"/>
      <c r="C40" s="86"/>
      <c r="D40" s="86"/>
      <c r="E40" s="86"/>
      <c r="F40" s="87"/>
    </row>
    <row r="41" spans="1:6" x14ac:dyDescent="0.25">
      <c r="A41" s="88"/>
      <c r="B41" s="89"/>
      <c r="C41" s="89"/>
      <c r="D41" s="89"/>
      <c r="E41" s="89"/>
      <c r="F41" s="90"/>
    </row>
    <row r="42" spans="1:6" ht="13" thickBot="1" x14ac:dyDescent="0.3">
      <c r="A42" s="82" t="s">
        <v>18</v>
      </c>
      <c r="B42" s="83"/>
      <c r="C42" s="83"/>
      <c r="D42" s="83"/>
      <c r="E42" s="83"/>
      <c r="F42" s="84"/>
    </row>
  </sheetData>
  <mergeCells count="32">
    <mergeCell ref="D6:E6"/>
    <mergeCell ref="E10:F10"/>
    <mergeCell ref="E19:F19"/>
    <mergeCell ref="E20:F20"/>
    <mergeCell ref="C7:F7"/>
    <mergeCell ref="E17:F17"/>
    <mergeCell ref="A42:F42"/>
    <mergeCell ref="A39:F39"/>
    <mergeCell ref="A36:F36"/>
    <mergeCell ref="A22:F22"/>
    <mergeCell ref="A40:F41"/>
    <mergeCell ref="A37:F38"/>
    <mergeCell ref="A34:F35"/>
    <mergeCell ref="D1:E1"/>
    <mergeCell ref="D2:E2"/>
    <mergeCell ref="D3:E3"/>
    <mergeCell ref="D5:E5"/>
    <mergeCell ref="D4:E4"/>
    <mergeCell ref="B1:C1"/>
    <mergeCell ref="B2:C2"/>
    <mergeCell ref="B3:C3"/>
    <mergeCell ref="B4:C4"/>
    <mergeCell ref="B21:F21"/>
    <mergeCell ref="B5:C5"/>
    <mergeCell ref="B6:C6"/>
    <mergeCell ref="E11:F11"/>
    <mergeCell ref="E12:F12"/>
    <mergeCell ref="A7:B7"/>
    <mergeCell ref="E13:F13"/>
    <mergeCell ref="E14:F14"/>
    <mergeCell ref="E16:F16"/>
    <mergeCell ref="E9:F9"/>
  </mergeCells>
  <phoneticPr fontId="0" type="noConversion"/>
  <hyperlinks>
    <hyperlink ref="G1" location="'Registro DM-PF'!A1" display="Ir a inicio"/>
  </hyperlinks>
  <printOptions horizontalCentered="1"/>
  <pageMargins left="0.98425196850393704" right="0.59055118110236227" top="0.78740157480314965" bottom="0.59055118110236227" header="0.39370078740157483" footer="0.39370078740157483"/>
  <pageSetup paperSize="9" scale="8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Registro DM-PF</vt:lpstr>
      <vt:lpstr>DM-PF-001</vt:lpstr>
      <vt:lpstr>'DM-PF-001'!Área_de_impresión</vt:lpstr>
      <vt:lpstr>'Registro DM-PF'!Área_de_impresión</vt:lpstr>
      <vt:lpstr>'Registro DM-PF'!Títulos_a_imprimir</vt:lpstr>
    </vt:vector>
  </TitlesOfParts>
  <Company>BCRA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L10166</dc:creator>
  <cp:lastModifiedBy>Esteban Sal</cp:lastModifiedBy>
  <cp:lastPrinted>2017-10-23T15:28:00Z</cp:lastPrinted>
  <dcterms:created xsi:type="dcterms:W3CDTF">2007-10-18T19:35:35Z</dcterms:created>
  <dcterms:modified xsi:type="dcterms:W3CDTF">2017-10-25T20:10:45Z</dcterms:modified>
</cp:coreProperties>
</file>